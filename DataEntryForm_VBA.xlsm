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SanDiskSecureAccess\Code\Excel\ExcelTextFileFormulas\VBA_SUBROUTINES\"/>
    </mc:Choice>
  </mc:AlternateContent>
  <xr:revisionPtr revIDLastSave="0" documentId="13_ncr:1_{DAD65795-E8A1-4D6A-A3CA-6F2182342854}" xr6:coauthVersionLast="40" xr6:coauthVersionMax="40" xr10:uidLastSave="{00000000-0000-0000-0000-000000000000}"/>
  <bookViews>
    <workbookView xWindow="-120" yWindow="-120" windowWidth="20730" windowHeight="11160" xr2:uid="{00000000-000D-0000-FFFF-FFFF00000000}"/>
  </bookViews>
  <sheets>
    <sheet name="DataSheet" sheetId="1" r:id="rId1"/>
  </sheets>
  <definedNames>
    <definedName name="_xlnm.Print_Area" localSheetId="0">DataSheet!$A$1:$O$1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1" i="1" l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R22" i="1" l="1"/>
  <c r="R18" i="1"/>
  <c r="R16" i="1"/>
  <c r="R12" i="1"/>
  <c r="R11" i="1"/>
  <c r="R32" i="1"/>
  <c r="R28" i="1"/>
  <c r="R26" i="1"/>
  <c r="R27" i="1"/>
  <c r="R23" i="1"/>
  <c r="R31" i="1"/>
  <c r="R19" i="1"/>
  <c r="R17" i="1"/>
  <c r="R15" i="1"/>
  <c r="R29" i="1"/>
  <c r="R24" i="1"/>
  <c r="R21" i="1"/>
  <c r="R14" i="1"/>
  <c r="R20" i="1"/>
  <c r="R13" i="1"/>
  <c r="R30" i="1"/>
  <c r="R25" i="1"/>
  <c r="J1" i="1"/>
  <c r="L1" i="1" l="1"/>
  <c r="P2" i="1" l="1"/>
  <c r="Q2" i="1"/>
  <c r="P3" i="1"/>
  <c r="Q3" i="1"/>
  <c r="P4" i="1"/>
  <c r="Q4" i="1"/>
  <c r="P5" i="1"/>
  <c r="Q5" i="1"/>
  <c r="P6" i="1"/>
  <c r="Q6" i="1"/>
  <c r="P7" i="1"/>
  <c r="Q7" i="1"/>
  <c r="P8" i="1"/>
  <c r="Q8" i="1"/>
  <c r="P9" i="1"/>
  <c r="Q9" i="1"/>
  <c r="P10" i="1"/>
  <c r="Q10" i="1"/>
  <c r="R4" i="1" l="1"/>
  <c r="R10" i="1"/>
  <c r="R3" i="1"/>
  <c r="R9" i="1"/>
  <c r="R8" i="1"/>
  <c r="R6" i="1"/>
  <c r="R5" i="1"/>
  <c r="R7" i="1"/>
  <c r="R2" i="1"/>
</calcChain>
</file>

<file path=xl/sharedStrings.xml><?xml version="1.0" encoding="utf-8"?>
<sst xmlns="http://schemas.openxmlformats.org/spreadsheetml/2006/main" count="116" uniqueCount="51">
  <si>
    <t>ID</t>
  </si>
  <si>
    <t>CUSTOMER NAME</t>
  </si>
  <si>
    <t>CONTACT NUMBER</t>
  </si>
  <si>
    <t>CONTACT EMAIL</t>
  </si>
  <si>
    <t>DATE</t>
  </si>
  <si>
    <t>CONTACT NAME</t>
  </si>
  <si>
    <t>CUSTOMER CONTACTED</t>
  </si>
  <si>
    <t>CUSTOMERS (TERMS)</t>
  </si>
  <si>
    <t>Notes (Orders New Products New opportunities)</t>
  </si>
  <si>
    <t>YES</t>
  </si>
  <si>
    <t>NO</t>
  </si>
  <si>
    <t>ADDRESS</t>
  </si>
  <si>
    <t>30/10/2018</t>
  </si>
  <si>
    <t>CONTACT LASTNAME</t>
  </si>
  <si>
    <t xml:space="preserve">+61 2 9792 2600 </t>
  </si>
  <si>
    <t>from sales files https://www.benino.com.au/contact</t>
  </si>
  <si>
    <t>Concord Butcher Catering Supplies</t>
  </si>
  <si>
    <t>(03) 9870 0426</t>
  </si>
  <si>
    <t>https://www.truelocal.com.au/business/concord-butcher-catering-supplies/ringwood</t>
  </si>
  <si>
    <t xml:space="preserve">(+612) 9517 3688     </t>
  </si>
  <si>
    <t>http://www.mannafromheaven.com.au/contact</t>
  </si>
  <si>
    <t>Moore &amp; Moore Fine Foods</t>
  </si>
  <si>
    <t>(02) 4946 8189</t>
  </si>
  <si>
    <t>61 2 9572 7888</t>
  </si>
  <si>
    <t>https://www.southerncrosssupplies.com.au/</t>
  </si>
  <si>
    <t>Tip Top Butchers</t>
  </si>
  <si>
    <t>https://tiptopbutchers.com.au/</t>
  </si>
  <si>
    <t>PROGRESS</t>
  </si>
  <si>
    <t>PROGRESS (YES)</t>
  </si>
  <si>
    <t>PROGRESS (NO)</t>
  </si>
  <si>
    <t>PO</t>
  </si>
  <si>
    <t>Benino Fine Foods</t>
  </si>
  <si>
    <t>Manna From Heaven Pty Ltd</t>
  </si>
  <si>
    <t>Southern Cross Supplies P/L</t>
  </si>
  <si>
    <t>17 October email Terry to Paul Tom Re:Speciality Customers -Attached is a list of the Specialty distributors contact details and terms who largely purchase Taylors products.</t>
  </si>
  <si>
    <t>TROPPICO DISTRIBUTORS</t>
  </si>
  <si>
    <t>07 5498 2364  F M0448 721 444</t>
  </si>
  <si>
    <t/>
  </si>
  <si>
    <t xml:space="preserve">10 Gatwood Close, Padstow Nsw 2211 Australia </t>
  </si>
  <si>
    <t>8/ 513-515 Maroondah Hwy, Ringwood, Vic, 3134</t>
  </si>
  <si>
    <t>Units 6G And 6F 415 West Botany Street Rockdale Nsw 2216 Australia</t>
  </si>
  <si>
    <t>96 Gladgunson Dr, Eleebana Nsw 2282</t>
  </si>
  <si>
    <t>6B Rich St Marrickville Nsw 2204 Australia</t>
  </si>
  <si>
    <t>239 Robinson Road Mt. Mee Qld 4521</t>
  </si>
  <si>
    <t>03 9368 4544</t>
  </si>
  <si>
    <t>10 Raymond Rd, Laverton North Victoria 3026</t>
  </si>
  <si>
    <t>Robbies confectionary</t>
  </si>
  <si>
    <t>Bunzle</t>
  </si>
  <si>
    <t>PARENT</t>
  </si>
  <si>
    <t>SEND DATE</t>
  </si>
  <si>
    <t>Next Customer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</si>
</sst>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0" fontId="0" fillId="0" borderId="1" xfId="0" applyFont="1" applyBorder="1" applyAlignment="1">
      <alignment horizontal="left" vertical="top"/>
    </xf>
    <xf numFmtId="14" fontId="0" fillId="0" borderId="1" xfId="0" applyNumberFormat="1" applyFont="1" applyBorder="1" applyAlignment="1">
      <alignment horizontal="left" vertical="top"/>
    </xf>
    <xf numFmtId="9" fontId="0" fillId="0" borderId="1" xfId="1" applyFont="1" applyBorder="1" applyAlignment="1">
      <alignment horizontal="left" vertical="top"/>
    </xf>
    <xf numFmtId="0" fontId="0" fillId="3" borderId="1" xfId="0" applyFont="1" applyFill="1" applyBorder="1" applyAlignment="1">
      <alignment horizontal="left" vertical="top"/>
    </xf>
    <xf numFmtId="14" fontId="0" fillId="3" borderId="1" xfId="0" applyNumberFormat="1" applyFont="1" applyFill="1" applyBorder="1" applyAlignment="1">
      <alignment horizontal="left" vertical="top"/>
    </xf>
    <xf numFmtId="0" fontId="0" fillId="4" borderId="1" xfId="0" applyFont="1" applyFill="1" applyBorder="1" applyAlignment="1">
      <alignment horizontal="left" vertical="top"/>
    </xf>
    <xf numFmtId="9" fontId="0" fillId="0" borderId="0" xfId="1" applyFont="1" applyBorder="1" applyAlignment="1">
      <alignment horizontal="left" vertical="top"/>
    </xf>
    <xf numFmtId="0" fontId="0" fillId="4" borderId="2" xfId="0" applyFont="1" applyFill="1" applyBorder="1" applyAlignment="1">
      <alignment horizontal="left" vertical="top"/>
    </xf>
  </cellXfs>
  <cellStyles count="2">
    <cellStyle name="Normal" xfId="0" builtinId="0"/>
    <cellStyle name="Percent" xfId="1" builtinId="5"/>
  </cellStyles>
  <dxfs count="11">
    <dxf>
      <fill>
        <patternFill>
          <bgColor theme="0" tint="-0.1499679555650502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1"/>
      </font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32"/>
  <sheetViews>
    <sheetView tabSelected="1" zoomScale="55" zoomScaleNormal="55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P43" sqref="P43"/>
    </sheetView>
  </sheetViews>
  <sheetFormatPr defaultRowHeight="15" x14ac:dyDescent="0.25"/>
  <cols>
    <col min="1" max="1" width="4.85546875" customWidth="1"/>
    <col min="2" max="2" width="47" bestFit="1" customWidth="1"/>
    <col min="3" max="4" width="20.42578125" customWidth="1"/>
    <col min="5" max="5" width="65.7109375" bestFit="1" customWidth="1"/>
    <col min="6" max="6" width="31.7109375" customWidth="1"/>
    <col min="7" max="7" width="49.28515625" customWidth="1"/>
    <col min="8" max="8" width="28.42578125" bestFit="1" customWidth="1"/>
    <col min="9" max="9" width="25.28515625" bestFit="1" customWidth="1"/>
    <col min="10" max="10" width="24.28515625" bestFit="1" customWidth="1"/>
    <col min="11" max="11" width="22.42578125" bestFit="1" customWidth="1"/>
    <col min="12" max="12" width="23.5703125" bestFit="1" customWidth="1"/>
    <col min="13" max="13" width="16.140625" bestFit="1" customWidth="1"/>
    <col min="14" max="14" width="56.42578125" customWidth="1"/>
    <col min="15" max="15" width="12.7109375" customWidth="1"/>
    <col min="16" max="16" width="19.5703125" bestFit="1" customWidth="1"/>
    <col min="17" max="17" width="18.5703125" bestFit="1" customWidth="1"/>
    <col min="18" max="18" width="14.140625" customWidth="1"/>
    <col min="19" max="19" width="19.85546875" customWidth="1"/>
  </cols>
  <sheetData>
    <row r="1" spans="1:19" s="1" customFormat="1" ht="29.25" customHeight="1" x14ac:dyDescent="0.25">
      <c r="A1" s="6" t="s">
        <v>0</v>
      </c>
      <c r="B1" s="6" t="s">
        <v>1</v>
      </c>
      <c r="C1" s="6" t="s">
        <v>5</v>
      </c>
      <c r="D1" s="6" t="s">
        <v>13</v>
      </c>
      <c r="E1" s="6" t="s">
        <v>2</v>
      </c>
      <c r="F1" s="6" t="s">
        <v>3</v>
      </c>
      <c r="G1" s="6" t="s">
        <v>11</v>
      </c>
      <c r="H1" s="6" t="s">
        <v>6</v>
      </c>
      <c r="I1" s="6" t="s">
        <v>7</v>
      </c>
      <c r="J1" s="8" t="str">
        <f>"SENT FORMS"&amp;" "&amp;COUNTIF(J$2:J$26,"YES")</f>
        <v>SENT FORMS 0</v>
      </c>
      <c r="K1" s="6" t="s">
        <v>49</v>
      </c>
      <c r="L1" s="8" t="str">
        <f>"CREDIT COMPLETED"&amp;" "&amp;COUNTIF(L$2:L$26,"YES")</f>
        <v>CREDIT COMPLETED 0</v>
      </c>
      <c r="M1" s="6" t="s">
        <v>30</v>
      </c>
      <c r="N1" s="6" t="s">
        <v>8</v>
      </c>
      <c r="O1" s="7" t="s">
        <v>4</v>
      </c>
      <c r="P1" s="8" t="s">
        <v>28</v>
      </c>
      <c r="Q1" s="8" t="s">
        <v>29</v>
      </c>
      <c r="R1" s="8" t="s">
        <v>27</v>
      </c>
      <c r="S1" s="10" t="s">
        <v>48</v>
      </c>
    </row>
    <row r="2" spans="1:19" s="1" customFormat="1" x14ac:dyDescent="0.25">
      <c r="A2" s="2">
        <v>1</v>
      </c>
      <c r="B2" s="3" t="s">
        <v>31</v>
      </c>
      <c r="C2" s="3"/>
      <c r="D2" s="3"/>
      <c r="E2" s="3" t="s">
        <v>14</v>
      </c>
      <c r="F2" s="3"/>
      <c r="G2" s="3" t="s">
        <v>38</v>
      </c>
      <c r="H2" s="3" t="s">
        <v>10</v>
      </c>
      <c r="I2" s="3" t="s">
        <v>10</v>
      </c>
      <c r="J2" s="3" t="s">
        <v>10</v>
      </c>
      <c r="K2" s="3"/>
      <c r="L2" s="3" t="s">
        <v>10</v>
      </c>
      <c r="M2" s="3" t="s">
        <v>9</v>
      </c>
      <c r="N2" s="3" t="s">
        <v>15</v>
      </c>
      <c r="O2" s="4" t="s">
        <v>12</v>
      </c>
      <c r="P2" s="3">
        <f t="shared" ref="P2:P8" si="0">COUNTIF(A2:O2,"YES")</f>
        <v>1</v>
      </c>
      <c r="Q2" s="3">
        <f t="shared" ref="Q2:Q8" si="1">COUNTIF(A2:O2,"NO")</f>
        <v>4</v>
      </c>
      <c r="R2" s="5">
        <f t="shared" ref="R2:R8" si="2">IFERROR(P2/(P2+Q2),"")</f>
        <v>0.2</v>
      </c>
      <c r="S2" s="9"/>
    </row>
    <row r="3" spans="1:19" s="1" customFormat="1" x14ac:dyDescent="0.25">
      <c r="A3" s="2">
        <v>2</v>
      </c>
      <c r="B3" s="3" t="s">
        <v>16</v>
      </c>
      <c r="C3" s="3"/>
      <c r="D3" s="3"/>
      <c r="E3" s="3" t="s">
        <v>17</v>
      </c>
      <c r="F3" s="3"/>
      <c r="G3" s="3" t="s">
        <v>39</v>
      </c>
      <c r="H3" s="3" t="s">
        <v>10</v>
      </c>
      <c r="I3" s="3" t="s">
        <v>10</v>
      </c>
      <c r="J3" s="3" t="s">
        <v>10</v>
      </c>
      <c r="K3" s="3"/>
      <c r="L3" s="3" t="s">
        <v>10</v>
      </c>
      <c r="M3" s="3" t="s">
        <v>9</v>
      </c>
      <c r="N3" s="3" t="s">
        <v>18</v>
      </c>
      <c r="O3" s="4">
        <v>43403</v>
      </c>
      <c r="P3" s="3">
        <f t="shared" si="0"/>
        <v>1</v>
      </c>
      <c r="Q3" s="3">
        <f t="shared" si="1"/>
        <v>4</v>
      </c>
      <c r="R3" s="5">
        <f t="shared" si="2"/>
        <v>0.2</v>
      </c>
      <c r="S3" s="9"/>
    </row>
    <row r="4" spans="1:19" s="1" customFormat="1" x14ac:dyDescent="0.25">
      <c r="A4" s="2">
        <v>3</v>
      </c>
      <c r="B4" s="3" t="s">
        <v>32</v>
      </c>
      <c r="C4" s="3"/>
      <c r="D4" s="3"/>
      <c r="E4" s="3" t="s">
        <v>19</v>
      </c>
      <c r="F4" s="3"/>
      <c r="G4" s="3" t="s">
        <v>40</v>
      </c>
      <c r="H4" s="3" t="s">
        <v>10</v>
      </c>
      <c r="I4" s="3" t="s">
        <v>10</v>
      </c>
      <c r="J4" s="3" t="s">
        <v>10</v>
      </c>
      <c r="K4" s="3"/>
      <c r="L4" s="3" t="s">
        <v>10</v>
      </c>
      <c r="M4" s="3" t="s">
        <v>9</v>
      </c>
      <c r="N4" s="3" t="s">
        <v>20</v>
      </c>
      <c r="O4" s="4">
        <v>43403</v>
      </c>
      <c r="P4" s="3">
        <f t="shared" si="0"/>
        <v>1</v>
      </c>
      <c r="Q4" s="3">
        <f t="shared" si="1"/>
        <v>4</v>
      </c>
      <c r="R4" s="5">
        <f t="shared" si="2"/>
        <v>0.2</v>
      </c>
      <c r="S4" s="9"/>
    </row>
    <row r="5" spans="1:19" s="1" customFormat="1" x14ac:dyDescent="0.25">
      <c r="A5" s="2">
        <v>4</v>
      </c>
      <c r="B5" s="3" t="s">
        <v>21</v>
      </c>
      <c r="C5" s="3"/>
      <c r="D5" s="3"/>
      <c r="E5" s="3" t="s">
        <v>22</v>
      </c>
      <c r="F5" s="3"/>
      <c r="G5" s="3" t="s">
        <v>41</v>
      </c>
      <c r="H5" s="3" t="s">
        <v>10</v>
      </c>
      <c r="I5" s="3" t="s">
        <v>10</v>
      </c>
      <c r="J5" s="3" t="s">
        <v>10</v>
      </c>
      <c r="K5" s="3"/>
      <c r="L5" s="3" t="s">
        <v>10</v>
      </c>
      <c r="M5" s="3" t="s">
        <v>9</v>
      </c>
      <c r="N5" s="3"/>
      <c r="O5" s="4">
        <v>43403</v>
      </c>
      <c r="P5" s="3">
        <f t="shared" si="0"/>
        <v>1</v>
      </c>
      <c r="Q5" s="3">
        <f t="shared" si="1"/>
        <v>4</v>
      </c>
      <c r="R5" s="5">
        <f t="shared" si="2"/>
        <v>0.2</v>
      </c>
      <c r="S5" s="9"/>
    </row>
    <row r="6" spans="1:19" s="1" customFormat="1" x14ac:dyDescent="0.25">
      <c r="A6" s="2">
        <v>5</v>
      </c>
      <c r="B6" s="3" t="s">
        <v>33</v>
      </c>
      <c r="C6" s="3"/>
      <c r="D6" s="3"/>
      <c r="E6" s="3" t="s">
        <v>23</v>
      </c>
      <c r="F6" s="3"/>
      <c r="G6" s="3" t="s">
        <v>42</v>
      </c>
      <c r="H6" s="3" t="s">
        <v>10</v>
      </c>
      <c r="I6" s="3" t="s">
        <v>10</v>
      </c>
      <c r="J6" s="3" t="s">
        <v>10</v>
      </c>
      <c r="K6" s="3"/>
      <c r="L6" s="3" t="s">
        <v>10</v>
      </c>
      <c r="M6" s="3" t="s">
        <v>9</v>
      </c>
      <c r="N6" s="3" t="s">
        <v>24</v>
      </c>
      <c r="O6" s="4">
        <v>43403</v>
      </c>
      <c r="P6" s="3">
        <f t="shared" si="0"/>
        <v>1</v>
      </c>
      <c r="Q6" s="3">
        <f t="shared" si="1"/>
        <v>4</v>
      </c>
      <c r="R6" s="5">
        <f t="shared" si="2"/>
        <v>0.2</v>
      </c>
      <c r="S6" s="9"/>
    </row>
    <row r="7" spans="1:19" s="1" customFormat="1" x14ac:dyDescent="0.25">
      <c r="A7" s="2">
        <v>6</v>
      </c>
      <c r="B7" s="3" t="s">
        <v>25</v>
      </c>
      <c r="C7" s="3"/>
      <c r="D7" s="3"/>
      <c r="E7" s="3" t="s">
        <v>44</v>
      </c>
      <c r="F7" s="3"/>
      <c r="G7" s="3" t="s">
        <v>45</v>
      </c>
      <c r="H7" s="3" t="s">
        <v>10</v>
      </c>
      <c r="I7" s="3" t="s">
        <v>10</v>
      </c>
      <c r="J7" s="3" t="s">
        <v>10</v>
      </c>
      <c r="K7" s="3"/>
      <c r="L7" s="3" t="s">
        <v>10</v>
      </c>
      <c r="M7" s="3" t="s">
        <v>9</v>
      </c>
      <c r="N7" s="3" t="s">
        <v>26</v>
      </c>
      <c r="O7" s="4">
        <v>43403</v>
      </c>
      <c r="P7" s="3">
        <f t="shared" si="0"/>
        <v>1</v>
      </c>
      <c r="Q7" s="3">
        <f t="shared" si="1"/>
        <v>4</v>
      </c>
      <c r="R7" s="5">
        <f t="shared" si="2"/>
        <v>0.2</v>
      </c>
      <c r="S7" s="9"/>
    </row>
    <row r="8" spans="1:19" s="1" customFormat="1" x14ac:dyDescent="0.25">
      <c r="A8" s="2">
        <v>7</v>
      </c>
      <c r="B8" s="3" t="s">
        <v>35</v>
      </c>
      <c r="C8" s="3"/>
      <c r="D8" s="3"/>
      <c r="E8" s="3" t="s">
        <v>36</v>
      </c>
      <c r="F8" s="3"/>
      <c r="G8" s="3" t="s">
        <v>43</v>
      </c>
      <c r="H8" s="3" t="s">
        <v>10</v>
      </c>
      <c r="I8" s="3" t="s">
        <v>10</v>
      </c>
      <c r="J8" s="3" t="s">
        <v>10</v>
      </c>
      <c r="K8" s="3"/>
      <c r="L8" s="3" t="s">
        <v>10</v>
      </c>
      <c r="M8" s="3" t="s">
        <v>9</v>
      </c>
      <c r="N8" s="3" t="s">
        <v>34</v>
      </c>
      <c r="O8" s="4"/>
      <c r="P8" s="3">
        <f t="shared" si="0"/>
        <v>1</v>
      </c>
      <c r="Q8" s="3">
        <f t="shared" si="1"/>
        <v>4</v>
      </c>
      <c r="R8" s="5">
        <f t="shared" si="2"/>
        <v>0.2</v>
      </c>
      <c r="S8" s="9"/>
    </row>
    <row r="9" spans="1:19" s="1" customFormat="1" x14ac:dyDescent="0.25">
      <c r="A9" s="2">
        <v>8</v>
      </c>
      <c r="B9" s="3" t="s">
        <v>46</v>
      </c>
      <c r="C9" s="3"/>
      <c r="D9" s="3"/>
      <c r="E9" s="3"/>
      <c r="F9" s="3"/>
      <c r="G9" s="3" t="s">
        <v>37</v>
      </c>
      <c r="H9" s="3" t="s">
        <v>10</v>
      </c>
      <c r="I9" s="3" t="s">
        <v>10</v>
      </c>
      <c r="J9" s="3" t="s">
        <v>10</v>
      </c>
      <c r="K9" s="3"/>
      <c r="L9" s="3" t="s">
        <v>10</v>
      </c>
      <c r="M9" s="3" t="s">
        <v>10</v>
      </c>
      <c r="N9" s="3"/>
      <c r="O9" s="4"/>
      <c r="P9" s="3">
        <f t="shared" ref="P9:P10" si="3">COUNTIF(A9:O9,"YES")</f>
        <v>0</v>
      </c>
      <c r="Q9" s="3">
        <f t="shared" ref="Q9:Q10" si="4">COUNTIF(A9:O9,"NO")</f>
        <v>5</v>
      </c>
      <c r="R9" s="5">
        <f t="shared" ref="R9:R10" si="5">IFERROR(P9/(P9+Q9),"")</f>
        <v>0</v>
      </c>
      <c r="S9" s="9"/>
    </row>
    <row r="10" spans="1:19" s="1" customFormat="1" x14ac:dyDescent="0.25">
      <c r="A10" s="2">
        <v>9</v>
      </c>
      <c r="B10" s="3" t="s">
        <v>47</v>
      </c>
      <c r="C10" s="3"/>
      <c r="D10" s="3"/>
      <c r="E10" s="3"/>
      <c r="F10" s="3"/>
      <c r="G10" s="3" t="s">
        <v>37</v>
      </c>
      <c r="H10" s="3" t="s">
        <v>10</v>
      </c>
      <c r="I10" s="3" t="s">
        <v>10</v>
      </c>
      <c r="J10" s="3" t="s">
        <v>10</v>
      </c>
      <c r="K10" s="3"/>
      <c r="L10" s="3" t="s">
        <v>10</v>
      </c>
      <c r="M10" s="3" t="s">
        <v>10</v>
      </c>
      <c r="N10" s="3"/>
      <c r="O10" s="4"/>
      <c r="P10" s="3">
        <f t="shared" si="3"/>
        <v>0</v>
      </c>
      <c r="Q10" s="3">
        <f t="shared" si="4"/>
        <v>5</v>
      </c>
      <c r="R10" s="5">
        <f t="shared" si="5"/>
        <v>0</v>
      </c>
      <c r="S10" s="9"/>
    </row>
    <row r="11" spans="1:19" s="1" customFormat="1" x14ac:dyDescent="0.25">
      <c r="A11" s="2">
        <v>10</v>
      </c>
      <c r="B11" s="3" t="s">
        <v>50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4">
        <v>43511</v>
      </c>
      <c r="P11" s="3">
        <f t="shared" ref="P11:P32" si="6">COUNTIF(A11:O11,"YES")</f>
        <v>0</v>
      </c>
      <c r="Q11" s="3">
        <f t="shared" ref="Q11:Q32" si="7">COUNTIF(A11:O11,"NO")</f>
        <v>0</v>
      </c>
      <c r="R11" s="5" t="str">
        <f t="shared" ref="R11:R32" si="8">IFERROR(P11/(P11+Q11),"")</f>
        <v/>
      </c>
      <c r="S11" s="9"/>
    </row>
    <row r="12" spans="1:19" s="1" customFormat="1" x14ac:dyDescent="0.25">
      <c r="A12" s="2">
        <v>11</v>
      </c>
      <c r="B12" s="3"/>
      <c r="C12" s="3"/>
      <c r="D12" s="3"/>
      <c r="E12" s="3"/>
      <c r="F12" s="3"/>
      <c r="G12" s="3" t="s">
        <v>37</v>
      </c>
      <c r="H12" s="3"/>
      <c r="I12" s="3"/>
      <c r="J12" s="3"/>
      <c r="K12" s="3"/>
      <c r="L12" s="3"/>
      <c r="M12" s="3"/>
      <c r="N12" s="3"/>
      <c r="O12" s="4"/>
      <c r="P12" s="3">
        <f t="shared" si="6"/>
        <v>0</v>
      </c>
      <c r="Q12" s="3">
        <f t="shared" si="7"/>
        <v>0</v>
      </c>
      <c r="R12" s="5" t="str">
        <f t="shared" si="8"/>
        <v/>
      </c>
      <c r="S12" s="9"/>
    </row>
    <row r="13" spans="1:19" s="1" customFormat="1" x14ac:dyDescent="0.25">
      <c r="A13" s="2">
        <v>12</v>
      </c>
      <c r="B13" s="3"/>
      <c r="C13" s="3"/>
      <c r="D13" s="3"/>
      <c r="E13" s="3"/>
      <c r="F13" s="3"/>
      <c r="G13" s="3" t="s">
        <v>37</v>
      </c>
      <c r="H13" s="3"/>
      <c r="I13" s="3"/>
      <c r="J13" s="3"/>
      <c r="K13" s="3"/>
      <c r="L13" s="3"/>
      <c r="M13" s="3"/>
      <c r="N13" s="3"/>
      <c r="O13" s="4"/>
      <c r="P13" s="3">
        <f t="shared" si="6"/>
        <v>0</v>
      </c>
      <c r="Q13" s="3">
        <f t="shared" si="7"/>
        <v>0</v>
      </c>
      <c r="R13" s="5" t="str">
        <f t="shared" si="8"/>
        <v/>
      </c>
      <c r="S13" s="9"/>
    </row>
    <row r="14" spans="1:19" s="1" customFormat="1" x14ac:dyDescent="0.25">
      <c r="A14" s="2">
        <v>13</v>
      </c>
      <c r="B14" s="3"/>
      <c r="C14" s="3"/>
      <c r="D14" s="3"/>
      <c r="E14" s="3"/>
      <c r="F14" s="3"/>
      <c r="G14" s="3" t="s">
        <v>37</v>
      </c>
      <c r="H14" s="3"/>
      <c r="I14" s="3"/>
      <c r="J14" s="3"/>
      <c r="K14" s="3"/>
      <c r="L14" s="3"/>
      <c r="M14" s="3"/>
      <c r="N14" s="3"/>
      <c r="O14" s="4"/>
      <c r="P14" s="3">
        <f t="shared" si="6"/>
        <v>0</v>
      </c>
      <c r="Q14" s="3">
        <f t="shared" si="7"/>
        <v>0</v>
      </c>
      <c r="R14" s="5" t="str">
        <f t="shared" si="8"/>
        <v/>
      </c>
      <c r="S14" s="9"/>
    </row>
    <row r="15" spans="1:19" s="1" customFormat="1" x14ac:dyDescent="0.25">
      <c r="A15" s="2">
        <v>14</v>
      </c>
      <c r="B15" s="3"/>
      <c r="C15" s="3"/>
      <c r="D15" s="3"/>
      <c r="E15" s="3"/>
      <c r="F15" s="3"/>
      <c r="G15" s="3" t="s">
        <v>37</v>
      </c>
      <c r="H15" s="3"/>
      <c r="I15" s="3"/>
      <c r="J15" s="3"/>
      <c r="K15" s="3"/>
      <c r="L15" s="3"/>
      <c r="M15" s="3"/>
      <c r="N15" s="3"/>
      <c r="O15" s="4"/>
      <c r="P15" s="3">
        <f t="shared" si="6"/>
        <v>0</v>
      </c>
      <c r="Q15" s="3">
        <f t="shared" si="7"/>
        <v>0</v>
      </c>
      <c r="R15" s="5" t="str">
        <f t="shared" si="8"/>
        <v/>
      </c>
      <c r="S15" s="9"/>
    </row>
    <row r="16" spans="1:19" s="1" customFormat="1" x14ac:dyDescent="0.25">
      <c r="A16" s="2">
        <v>15</v>
      </c>
      <c r="B16" s="3"/>
      <c r="C16" s="3"/>
      <c r="D16" s="3"/>
      <c r="E16" s="3"/>
      <c r="F16" s="3"/>
      <c r="G16" s="3" t="s">
        <v>37</v>
      </c>
      <c r="H16" s="3"/>
      <c r="I16" s="3"/>
      <c r="J16" s="3"/>
      <c r="K16" s="3"/>
      <c r="L16" s="3"/>
      <c r="M16" s="3"/>
      <c r="N16" s="3"/>
      <c r="O16" s="4"/>
      <c r="P16" s="3">
        <f t="shared" si="6"/>
        <v>0</v>
      </c>
      <c r="Q16" s="3">
        <f t="shared" si="7"/>
        <v>0</v>
      </c>
      <c r="R16" s="5" t="str">
        <f t="shared" si="8"/>
        <v/>
      </c>
      <c r="S16" s="9"/>
    </row>
    <row r="17" spans="1:19" s="1" customFormat="1" x14ac:dyDescent="0.25">
      <c r="A17" s="2">
        <v>16</v>
      </c>
      <c r="B17" s="3"/>
      <c r="C17" s="3"/>
      <c r="D17" s="3"/>
      <c r="E17" s="3"/>
      <c r="F17" s="3"/>
      <c r="G17" s="3" t="s">
        <v>37</v>
      </c>
      <c r="H17" s="3"/>
      <c r="I17" s="3"/>
      <c r="J17" s="3"/>
      <c r="K17" s="3"/>
      <c r="L17" s="3"/>
      <c r="M17" s="3"/>
      <c r="N17" s="3"/>
      <c r="O17" s="4"/>
      <c r="P17" s="3">
        <f t="shared" si="6"/>
        <v>0</v>
      </c>
      <c r="Q17" s="3">
        <f t="shared" si="7"/>
        <v>0</v>
      </c>
      <c r="R17" s="5" t="str">
        <f t="shared" si="8"/>
        <v/>
      </c>
      <c r="S17" s="9"/>
    </row>
    <row r="18" spans="1:19" s="1" customFormat="1" x14ac:dyDescent="0.25">
      <c r="A18" s="2">
        <v>17</v>
      </c>
      <c r="B18" s="3"/>
      <c r="C18" s="3"/>
      <c r="D18" s="3"/>
      <c r="E18" s="3"/>
      <c r="F18" s="3"/>
      <c r="G18" s="3" t="s">
        <v>37</v>
      </c>
      <c r="H18" s="3"/>
      <c r="I18" s="3"/>
      <c r="J18" s="3"/>
      <c r="K18" s="3"/>
      <c r="L18" s="3"/>
      <c r="M18" s="3"/>
      <c r="N18" s="3"/>
      <c r="O18" s="4"/>
      <c r="P18" s="3">
        <f t="shared" si="6"/>
        <v>0</v>
      </c>
      <c r="Q18" s="3">
        <f t="shared" si="7"/>
        <v>0</v>
      </c>
      <c r="R18" s="5" t="str">
        <f t="shared" si="8"/>
        <v/>
      </c>
      <c r="S18" s="9"/>
    </row>
    <row r="19" spans="1:19" s="1" customFormat="1" x14ac:dyDescent="0.25">
      <c r="A19" s="2">
        <v>18</v>
      </c>
      <c r="B19" s="3"/>
      <c r="C19" s="3"/>
      <c r="D19" s="3"/>
      <c r="E19" s="3"/>
      <c r="F19" s="3"/>
      <c r="G19" s="3" t="s">
        <v>37</v>
      </c>
      <c r="H19" s="3"/>
      <c r="I19" s="3"/>
      <c r="J19" s="3"/>
      <c r="K19" s="3"/>
      <c r="L19" s="3"/>
      <c r="M19" s="3"/>
      <c r="N19" s="3"/>
      <c r="O19" s="4"/>
      <c r="P19" s="3">
        <f t="shared" si="6"/>
        <v>0</v>
      </c>
      <c r="Q19" s="3">
        <f t="shared" si="7"/>
        <v>0</v>
      </c>
      <c r="R19" s="5" t="str">
        <f t="shared" si="8"/>
        <v/>
      </c>
      <c r="S19" s="9"/>
    </row>
    <row r="20" spans="1:19" s="1" customFormat="1" x14ac:dyDescent="0.25">
      <c r="A20" s="2">
        <v>19</v>
      </c>
      <c r="B20" s="3"/>
      <c r="C20" s="3"/>
      <c r="D20" s="3"/>
      <c r="E20" s="3"/>
      <c r="F20" s="3"/>
      <c r="G20" s="3" t="s">
        <v>37</v>
      </c>
      <c r="H20" s="3"/>
      <c r="I20" s="3"/>
      <c r="J20" s="3"/>
      <c r="K20" s="3"/>
      <c r="L20" s="3"/>
      <c r="M20" s="3"/>
      <c r="N20" s="3"/>
      <c r="O20" s="4"/>
      <c r="P20" s="3">
        <f t="shared" si="6"/>
        <v>0</v>
      </c>
      <c r="Q20" s="3">
        <f t="shared" si="7"/>
        <v>0</v>
      </c>
      <c r="R20" s="5" t="str">
        <f t="shared" si="8"/>
        <v/>
      </c>
      <c r="S20" s="9"/>
    </row>
    <row r="21" spans="1:19" s="1" customFormat="1" x14ac:dyDescent="0.25">
      <c r="A21" s="2">
        <v>20</v>
      </c>
      <c r="B21" s="3"/>
      <c r="C21" s="3"/>
      <c r="D21" s="3"/>
      <c r="E21" s="3"/>
      <c r="F21" s="3"/>
      <c r="G21" s="3" t="s">
        <v>37</v>
      </c>
      <c r="H21" s="3"/>
      <c r="I21" s="3"/>
      <c r="J21" s="3"/>
      <c r="K21" s="3"/>
      <c r="L21" s="3"/>
      <c r="M21" s="3"/>
      <c r="N21" s="3"/>
      <c r="O21" s="4"/>
      <c r="P21" s="3">
        <f t="shared" si="6"/>
        <v>0</v>
      </c>
      <c r="Q21" s="3">
        <f t="shared" si="7"/>
        <v>0</v>
      </c>
      <c r="R21" s="5" t="str">
        <f t="shared" si="8"/>
        <v/>
      </c>
      <c r="S21" s="9"/>
    </row>
    <row r="22" spans="1:19" s="1" customFormat="1" x14ac:dyDescent="0.25">
      <c r="A22" s="2">
        <v>21</v>
      </c>
      <c r="B22" s="3"/>
      <c r="C22" s="3"/>
      <c r="D22" s="3"/>
      <c r="E22" s="3"/>
      <c r="F22" s="3"/>
      <c r="G22" s="3" t="s">
        <v>37</v>
      </c>
      <c r="H22" s="3"/>
      <c r="I22" s="3"/>
      <c r="J22" s="3"/>
      <c r="K22" s="3"/>
      <c r="L22" s="3"/>
      <c r="M22" s="3"/>
      <c r="N22" s="3"/>
      <c r="O22" s="4"/>
      <c r="P22" s="3">
        <f t="shared" si="6"/>
        <v>0</v>
      </c>
      <c r="Q22" s="3">
        <f t="shared" si="7"/>
        <v>0</v>
      </c>
      <c r="R22" s="5" t="str">
        <f t="shared" si="8"/>
        <v/>
      </c>
      <c r="S22" s="9"/>
    </row>
    <row r="23" spans="1:19" s="1" customFormat="1" x14ac:dyDescent="0.25">
      <c r="A23" s="2">
        <v>22</v>
      </c>
      <c r="B23" s="3"/>
      <c r="C23" s="3"/>
      <c r="D23" s="3"/>
      <c r="E23" s="3"/>
      <c r="F23" s="3"/>
      <c r="G23" s="3" t="s">
        <v>37</v>
      </c>
      <c r="H23" s="3"/>
      <c r="I23" s="3"/>
      <c r="J23" s="3"/>
      <c r="K23" s="3"/>
      <c r="L23" s="3"/>
      <c r="M23" s="3"/>
      <c r="N23" s="3"/>
      <c r="O23" s="4"/>
      <c r="P23" s="3">
        <f t="shared" si="6"/>
        <v>0</v>
      </c>
      <c r="Q23" s="3">
        <f t="shared" si="7"/>
        <v>0</v>
      </c>
      <c r="R23" s="5" t="str">
        <f t="shared" si="8"/>
        <v/>
      </c>
      <c r="S23" s="9"/>
    </row>
    <row r="24" spans="1:19" s="1" customFormat="1" x14ac:dyDescent="0.25">
      <c r="A24" s="2">
        <v>23</v>
      </c>
      <c r="B24" s="3"/>
      <c r="C24" s="3"/>
      <c r="D24" s="3"/>
      <c r="E24" s="3"/>
      <c r="F24" s="3"/>
      <c r="G24" s="3" t="s">
        <v>37</v>
      </c>
      <c r="H24" s="3"/>
      <c r="I24" s="3"/>
      <c r="J24" s="3"/>
      <c r="K24" s="3"/>
      <c r="L24" s="3"/>
      <c r="M24" s="3"/>
      <c r="N24" s="3"/>
      <c r="O24" s="4"/>
      <c r="P24" s="3">
        <f t="shared" si="6"/>
        <v>0</v>
      </c>
      <c r="Q24" s="3">
        <f t="shared" si="7"/>
        <v>0</v>
      </c>
      <c r="R24" s="5" t="str">
        <f t="shared" si="8"/>
        <v/>
      </c>
      <c r="S24" s="9"/>
    </row>
    <row r="25" spans="1:19" s="1" customFormat="1" x14ac:dyDescent="0.25">
      <c r="A25" s="2">
        <v>24</v>
      </c>
      <c r="B25" s="3"/>
      <c r="C25" s="3"/>
      <c r="D25" s="3"/>
      <c r="E25" s="3"/>
      <c r="F25" s="3"/>
      <c r="G25" s="3" t="s">
        <v>37</v>
      </c>
      <c r="H25" s="3"/>
      <c r="I25" s="3"/>
      <c r="J25" s="3"/>
      <c r="K25" s="3"/>
      <c r="L25" s="3"/>
      <c r="M25" s="3"/>
      <c r="N25" s="3"/>
      <c r="O25" s="4"/>
      <c r="P25" s="3">
        <f t="shared" si="6"/>
        <v>0</v>
      </c>
      <c r="Q25" s="3">
        <f t="shared" si="7"/>
        <v>0</v>
      </c>
      <c r="R25" s="5" t="str">
        <f t="shared" si="8"/>
        <v/>
      </c>
      <c r="S25" s="9"/>
    </row>
    <row r="26" spans="1:19" s="1" customFormat="1" x14ac:dyDescent="0.25">
      <c r="A26" s="2">
        <v>25</v>
      </c>
      <c r="B26" s="3"/>
      <c r="C26" s="3"/>
      <c r="D26" s="3"/>
      <c r="E26" s="3"/>
      <c r="F26" s="3"/>
      <c r="G26" s="3" t="s">
        <v>37</v>
      </c>
      <c r="H26" s="3"/>
      <c r="I26" s="3"/>
      <c r="J26" s="3"/>
      <c r="K26" s="3"/>
      <c r="L26" s="3"/>
      <c r="M26" s="3"/>
      <c r="N26" s="3"/>
      <c r="O26" s="4"/>
      <c r="P26" s="3">
        <f t="shared" si="6"/>
        <v>0</v>
      </c>
      <c r="Q26" s="3">
        <f t="shared" si="7"/>
        <v>0</v>
      </c>
      <c r="R26" s="5" t="str">
        <f t="shared" si="8"/>
        <v/>
      </c>
      <c r="S26" s="9"/>
    </row>
    <row r="27" spans="1:19" x14ac:dyDescent="0.25">
      <c r="A27" s="2">
        <v>26</v>
      </c>
      <c r="B27" s="3"/>
      <c r="C27" s="3"/>
      <c r="D27" s="3"/>
      <c r="E27" s="3"/>
      <c r="F27" s="3"/>
      <c r="G27" s="3" t="s">
        <v>37</v>
      </c>
      <c r="H27" s="3"/>
      <c r="I27" s="3"/>
      <c r="J27" s="3"/>
      <c r="K27" s="3"/>
      <c r="L27" s="3"/>
      <c r="M27" s="3"/>
      <c r="N27" s="3"/>
      <c r="O27" s="4"/>
      <c r="P27" s="3">
        <f t="shared" si="6"/>
        <v>0</v>
      </c>
      <c r="Q27" s="3">
        <f t="shared" si="7"/>
        <v>0</v>
      </c>
      <c r="R27" s="5" t="str">
        <f t="shared" si="8"/>
        <v/>
      </c>
    </row>
    <row r="28" spans="1:19" x14ac:dyDescent="0.25">
      <c r="A28" s="2">
        <v>27</v>
      </c>
      <c r="B28" s="3"/>
      <c r="C28" s="3"/>
      <c r="D28" s="3"/>
      <c r="E28" s="3"/>
      <c r="F28" s="3"/>
      <c r="G28" s="3" t="s">
        <v>37</v>
      </c>
      <c r="H28" s="3"/>
      <c r="I28" s="3"/>
      <c r="J28" s="3"/>
      <c r="K28" s="3"/>
      <c r="L28" s="3"/>
      <c r="M28" s="3"/>
      <c r="N28" s="3"/>
      <c r="O28" s="4"/>
      <c r="P28" s="3">
        <f t="shared" si="6"/>
        <v>0</v>
      </c>
      <c r="Q28" s="3">
        <f t="shared" si="7"/>
        <v>0</v>
      </c>
      <c r="R28" s="5" t="str">
        <f t="shared" si="8"/>
        <v/>
      </c>
    </row>
    <row r="29" spans="1:19" x14ac:dyDescent="0.25">
      <c r="A29" s="2">
        <v>28</v>
      </c>
      <c r="B29" s="3"/>
      <c r="C29" s="3"/>
      <c r="D29" s="3"/>
      <c r="E29" s="3"/>
      <c r="F29" s="3"/>
      <c r="G29" s="3" t="s">
        <v>37</v>
      </c>
      <c r="H29" s="3"/>
      <c r="I29" s="3"/>
      <c r="J29" s="3"/>
      <c r="K29" s="3"/>
      <c r="L29" s="3"/>
      <c r="M29" s="3"/>
      <c r="N29" s="3"/>
      <c r="O29" s="4"/>
      <c r="P29" s="3">
        <f t="shared" si="6"/>
        <v>0</v>
      </c>
      <c r="Q29" s="3">
        <f t="shared" si="7"/>
        <v>0</v>
      </c>
      <c r="R29" s="5" t="str">
        <f t="shared" si="8"/>
        <v/>
      </c>
    </row>
    <row r="30" spans="1:19" x14ac:dyDescent="0.25">
      <c r="A30" s="2">
        <v>29</v>
      </c>
      <c r="B30" s="3"/>
      <c r="C30" s="3"/>
      <c r="D30" s="3"/>
      <c r="E30" s="3"/>
      <c r="F30" s="3"/>
      <c r="G30" s="3" t="s">
        <v>37</v>
      </c>
      <c r="H30" s="3"/>
      <c r="I30" s="3"/>
      <c r="J30" s="3"/>
      <c r="K30" s="3"/>
      <c r="L30" s="3"/>
      <c r="M30" s="3"/>
      <c r="N30" s="3"/>
      <c r="O30" s="4"/>
      <c r="P30" s="3">
        <f t="shared" si="6"/>
        <v>0</v>
      </c>
      <c r="Q30" s="3">
        <f t="shared" si="7"/>
        <v>0</v>
      </c>
      <c r="R30" s="5" t="str">
        <f t="shared" si="8"/>
        <v/>
      </c>
    </row>
    <row r="31" spans="1:19" x14ac:dyDescent="0.25">
      <c r="A31" s="2">
        <v>30</v>
      </c>
      <c r="B31" s="3"/>
      <c r="C31" s="3"/>
      <c r="D31" s="3"/>
      <c r="E31" s="3"/>
      <c r="F31" s="3"/>
      <c r="G31" s="3" t="s">
        <v>37</v>
      </c>
      <c r="H31" s="3"/>
      <c r="I31" s="3"/>
      <c r="J31" s="3"/>
      <c r="K31" s="3"/>
      <c r="L31" s="3"/>
      <c r="M31" s="3"/>
      <c r="N31" s="3"/>
      <c r="O31" s="4"/>
      <c r="P31" s="3">
        <f t="shared" si="6"/>
        <v>0</v>
      </c>
      <c r="Q31" s="3">
        <f t="shared" si="7"/>
        <v>0</v>
      </c>
      <c r="R31" s="5" t="str">
        <f t="shared" si="8"/>
        <v/>
      </c>
    </row>
    <row r="32" spans="1:19" x14ac:dyDescent="0.25">
      <c r="A32" s="2">
        <v>31</v>
      </c>
      <c r="B32" s="3"/>
      <c r="C32" s="3"/>
      <c r="D32" s="3"/>
      <c r="E32" s="3"/>
      <c r="F32" s="3"/>
      <c r="G32" s="3" t="s">
        <v>37</v>
      </c>
      <c r="H32" s="3"/>
      <c r="I32" s="3"/>
      <c r="J32" s="3"/>
      <c r="K32" s="3"/>
      <c r="L32" s="3"/>
      <c r="M32" s="3"/>
      <c r="N32" s="3"/>
      <c r="O32" s="4"/>
      <c r="P32" s="3">
        <f t="shared" si="6"/>
        <v>0</v>
      </c>
      <c r="Q32" s="3">
        <f t="shared" si="7"/>
        <v>0</v>
      </c>
      <c r="R32" s="5" t="str">
        <f t="shared" si="8"/>
        <v/>
      </c>
    </row>
  </sheetData>
  <conditionalFormatting sqref="H1:M32">
    <cfRule type="cellIs" dxfId="10" priority="47" operator="equal">
      <formula>"YES"</formula>
    </cfRule>
  </conditionalFormatting>
  <conditionalFormatting sqref="P2:Q32">
    <cfRule type="cellIs" dxfId="9" priority="45" operator="equal">
      <formula>"YES"</formula>
    </cfRule>
  </conditionalFormatting>
  <conditionalFormatting sqref="P1">
    <cfRule type="cellIs" dxfId="8" priority="34" operator="equal">
      <formula>"YES"</formula>
    </cfRule>
  </conditionalFormatting>
  <conditionalFormatting sqref="Q1">
    <cfRule type="cellIs" dxfId="7" priority="33" operator="equal">
      <formula>"YES"</formula>
    </cfRule>
  </conditionalFormatting>
  <conditionalFormatting sqref="R2:R32">
    <cfRule type="cellIs" dxfId="6" priority="12" operator="greaterThan">
      <formula>0.4</formula>
    </cfRule>
    <cfRule type="cellIs" dxfId="5" priority="13" operator="between">
      <formula>0</formula>
      <formula>0.4</formula>
    </cfRule>
    <cfRule type="cellIs" dxfId="4" priority="23" operator="greaterThan">
      <formula>0.6</formula>
    </cfRule>
    <cfRule type="cellIs" dxfId="3" priority="25" operator="between">
      <formula>0</formula>
      <formula>0.4</formula>
    </cfRule>
    <cfRule type="cellIs" dxfId="2" priority="30" operator="equal">
      <formula>"YES"</formula>
    </cfRule>
  </conditionalFormatting>
  <conditionalFormatting sqref="S2:S26">
    <cfRule type="cellIs" dxfId="1" priority="11" operator="greaterThan">
      <formula>0.6</formula>
    </cfRule>
  </conditionalFormatting>
  <conditionalFormatting sqref="B1:B32">
    <cfRule type="duplicateValues" dxfId="0" priority="264"/>
  </conditionalFormatting>
  <pageMargins left="0.70866141732283472" right="0.70866141732283472" top="0.74803149606299213" bottom="0.74803149606299213" header="0.31496062992125984" footer="0.31496062992125984"/>
  <pageSetup paperSize="8" scale="4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DataSheet</vt:lpstr>
      <vt:lpstr>DataSheet!Print_Area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LEWIS</dc:creator>
  <cp:lastModifiedBy>ALAN LEWIS</cp:lastModifiedBy>
  <cp:lastPrinted>2018-10-31T05:05:10Z</cp:lastPrinted>
  <dcterms:created xsi:type="dcterms:W3CDTF">2018-10-28T07:57:56Z</dcterms:created>
  <dcterms:modified xsi:type="dcterms:W3CDTF">2019-02-15T07:53:08Z</dcterms:modified>
</cp:coreProperties>
</file>